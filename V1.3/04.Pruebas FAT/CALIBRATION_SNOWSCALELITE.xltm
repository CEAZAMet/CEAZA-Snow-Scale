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IVE\Desarrollos\BALANZA\Calibracion\"/>
    </mc:Choice>
  </mc:AlternateContent>
  <xr:revisionPtr revIDLastSave="0" documentId="8_{7211D634-C1D3-40A3-9156-FCFBD6A51167}" xr6:coauthVersionLast="47" xr6:coauthVersionMax="47" xr10:uidLastSave="{00000000-0000-0000-0000-000000000000}"/>
  <bookViews>
    <workbookView xWindow="28680" yWindow="-120" windowWidth="29040" windowHeight="15720" xr2:uid="{2DDF4575-7081-412C-A602-ABAB73C7845C}"/>
  </bookViews>
  <sheets>
    <sheet name="Hoja1" sheetId="1" r:id="rId1"/>
    <sheet name="Hoja2" sheetId="2" r:id="rId2"/>
  </sheets>
  <definedNames>
    <definedName name="Baudrate">Hoja2!$A$2:$A$8</definedName>
    <definedName name="Firmware">Hoja2!$E$2:$E$10</definedName>
    <definedName name="Microcontroller">Hoja2!$C$2:$C$4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7" i="1" l="1"/>
  <c r="D48" i="1" s="1"/>
  <c r="D49" i="1" s="1"/>
  <c r="F46" i="1" s="1" a="1"/>
  <c r="G30" i="1"/>
  <c r="B14" i="1"/>
  <c r="F49" i="1" l="1"/>
  <c r="F18" i="1"/>
  <c r="D24" i="1"/>
  <c r="F13" i="1"/>
  <c r="F14" i="1"/>
  <c r="F15" i="1"/>
  <c r="F46" i="1"/>
  <c r="F48" i="1" s="1"/>
  <c r="G31" i="1"/>
  <c r="G32" i="1" l="1"/>
  <c r="D36" i="1" s="1"/>
  <c r="B37" i="1" l="1" a="1"/>
  <c r="B39" i="1" a="1"/>
  <c r="B38" i="1" a="1"/>
  <c r="B36" i="1" a="1"/>
  <c r="D39" i="1"/>
  <c r="D38" i="1"/>
  <c r="D37" i="1"/>
  <c r="B37" i="1" l="1"/>
  <c r="E37" i="1" s="1"/>
  <c r="G37" i="1"/>
  <c r="B36" i="1"/>
  <c r="E36" i="1" s="1"/>
  <c r="G36" i="1"/>
  <c r="G39" i="1"/>
  <c r="B39" i="1"/>
  <c r="E39" i="1" s="1"/>
  <c r="B38" i="1"/>
  <c r="E38" i="1" s="1"/>
  <c r="G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<sst xmlns="http://schemas.openxmlformats.org/spreadsheetml/2006/main" count="80" uniqueCount="73">
  <si>
    <t>BRAND:</t>
  </si>
  <si>
    <t>RS-485 id:</t>
  </si>
  <si>
    <t>Baud</t>
  </si>
  <si>
    <t>Sensor Name:</t>
  </si>
  <si>
    <t>Firmware:</t>
  </si>
  <si>
    <t>MCU:</t>
  </si>
  <si>
    <t>CEAZA</t>
  </si>
  <si>
    <t>Baudrate</t>
  </si>
  <si>
    <t>MCU</t>
  </si>
  <si>
    <t>ATmega328pb</t>
  </si>
  <si>
    <t>ATmega328p</t>
  </si>
  <si>
    <t>Select…</t>
  </si>
  <si>
    <t>Firmware</t>
  </si>
  <si>
    <t>V20211006.1</t>
  </si>
  <si>
    <t>V20221213.1</t>
  </si>
  <si>
    <t>V20221227.1</t>
  </si>
  <si>
    <t>V20230201.1</t>
  </si>
  <si>
    <t>V20230228.1</t>
  </si>
  <si>
    <t>V20230321.1</t>
  </si>
  <si>
    <t>V20230605.1</t>
  </si>
  <si>
    <t>V20230913.1</t>
  </si>
  <si>
    <t>Snow Scale Lite</t>
  </si>
  <si>
    <t>Calibration parameter calculation for each cell</t>
  </si>
  <si>
    <t>Cell</t>
  </si>
  <si>
    <t>Proportional</t>
  </si>
  <si>
    <t>Offset</t>
  </si>
  <si>
    <t>R2</t>
  </si>
  <si>
    <t>RAW A1</t>
  </si>
  <si>
    <t>RAW B1</t>
  </si>
  <si>
    <t>RAW A2</t>
  </si>
  <si>
    <t>RAW B2</t>
  </si>
  <si>
    <t>Load increase (Kg)</t>
  </si>
  <si>
    <t>A1</t>
  </si>
  <si>
    <t>B1</t>
  </si>
  <si>
    <t>A2</t>
  </si>
  <si>
    <t>B2</t>
  </si>
  <si>
    <t>Total Load (Kg)</t>
  </si>
  <si>
    <t>CMD prop</t>
  </si>
  <si>
    <t>CMD offset</t>
  </si>
  <si>
    <t>COM Terminal setting command (in Hercules)</t>
  </si>
  <si>
    <t>1. Basic parameters and measurements</t>
  </si>
  <si>
    <t>2. Load Cell Calibration</t>
  </si>
  <si>
    <t>3. Scale Calibration</t>
  </si>
  <si>
    <t>II - Instrument Calibration Input</t>
  </si>
  <si>
    <t>Total(Kg)</t>
  </si>
  <si>
    <t>I - RAW load cells data Input</t>
  </si>
  <si>
    <t>Meas.(Kg)</t>
  </si>
  <si>
    <t>Added Load(Kg)</t>
  </si>
  <si>
    <t>Prop.</t>
  </si>
  <si>
    <t>Set Parameters</t>
  </si>
  <si>
    <t>Baud:</t>
  </si>
  <si>
    <t>Name:</t>
  </si>
  <si>
    <t>To calibrate the load cells, it is essential to request the instruments to provide their raw measurements for a well-known mass applied to each cell (A1, B1, A2, B2). The command for this inquiry is highlighted in blue below.</t>
  </si>
  <si>
    <t>Raw data query:</t>
  </si>
  <si>
    <t>Query:</t>
  </si>
  <si>
    <t>Scale temperature during test (°C)</t>
  </si>
  <si>
    <t>Temp:</t>
  </si>
  <si>
    <t>The power supply for scale must be set between 5V and 14V with at least 100mA of current capacity.</t>
  </si>
  <si>
    <t>The answer must be received after few seconds, with the format "raw_a1,raw_b1,raw_a2,raw_b2" finished by a new line "\n".</t>
  </si>
  <si>
    <t>Tis calibration sheet is to ensure standarized calibration process for every snow scale crafted by CEAZA.  The commands shown in this doccument have been improved for Hercules serial terminal software.</t>
  </si>
  <si>
    <t>Wire connection:</t>
  </si>
  <si>
    <t>Meaning</t>
  </si>
  <si>
    <t>Red</t>
  </si>
  <si>
    <t>Black</t>
  </si>
  <si>
    <t>White</t>
  </si>
  <si>
    <t>Yellow</t>
  </si>
  <si>
    <t>Vin (+)</t>
  </si>
  <si>
    <t>GND (-)</t>
  </si>
  <si>
    <t>RS-485 (A+)</t>
  </si>
  <si>
    <t>RS-485 (B-)</t>
  </si>
  <si>
    <t>Scale wire color code</t>
  </si>
  <si>
    <t>When every cell is calibrated, the scale surface must be placed and then a calibration of the instrument must be performed.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</si>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</sst>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0.00000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7" tint="-0.249977111117893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2" xfId="0" applyFont="1" applyBorder="1"/>
    <xf numFmtId="0" fontId="1" fillId="0" borderId="3" xfId="0" applyFont="1" applyBorder="1"/>
    <xf numFmtId="0" fontId="1" fillId="0" borderId="3" xfId="0" applyFont="1" applyBorder="1" applyAlignment="1">
      <alignment horizontal="left"/>
    </xf>
    <xf numFmtId="0" fontId="1" fillId="0" borderId="4" xfId="0" applyFont="1" applyBorder="1"/>
    <xf numFmtId="0" fontId="1" fillId="0" borderId="5" xfId="0" applyFont="1" applyBorder="1"/>
    <xf numFmtId="0" fontId="1" fillId="0" borderId="8" xfId="0" applyFont="1" applyBorder="1"/>
    <xf numFmtId="0" fontId="2" fillId="0" borderId="8" xfId="0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 applyAlignment="1">
      <alignment horizontal="left" wrapText="1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8" fillId="0" borderId="1" xfId="0" applyFont="1" applyBorder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4" fillId="2" borderId="1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4" fillId="5" borderId="1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0" xfId="0" applyFont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15240</xdr:rowOff>
        </xdr:from>
        <xdr:to>
          <xdr:col>7</xdr:col>
          <xdr:colOff>742950</xdr:colOff>
          <xdr:row>5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99E1-7ED3-4CA9-932B-E3E549EC9B0E}">
  <sheetPr codeName="Hoja1"/>
  <dimension ref="A1:I52"/>
  <sheetViews>
    <sheetView tabSelected="1" zoomScale="115" zoomScaleNormal="115" zoomScalePageLayoutView="130" workbookViewId="0">
      <selection activeCell="A43" sqref="A43:G43"/>
    </sheetView>
  </sheetViews>
  <sheetFormatPr baseColWidth="10" defaultRowHeight="12" x14ac:dyDescent="0.25"/>
  <cols>
    <col min="1" max="1" width="10.5546875" style="2" bestFit="1" customWidth="1"/>
    <col min="2" max="2" width="10.6640625" style="2" bestFit="1" customWidth="1"/>
    <col min="3" max="3" width="9.44140625" style="2" customWidth="1"/>
    <col min="4" max="5" width="9.109375" style="2" customWidth="1"/>
    <col min="6" max="6" width="11.5546875" style="2"/>
    <col min="7" max="7" width="9.6640625" style="2" bestFit="1" customWidth="1"/>
    <col min="8" max="8" width="13.6640625" style="2" customWidth="1"/>
    <col min="9" max="9" width="7.6640625" style="2" customWidth="1"/>
    <col min="10" max="16384" width="11.5546875" style="2"/>
  </cols>
  <sheetData>
    <row r="1" spans="1:9" ht="24.6" customHeight="1" x14ac:dyDescent="0.25">
      <c r="A1" s="50" t="s">
        <v>59</v>
      </c>
      <c r="B1" s="50"/>
      <c r="C1" s="50"/>
      <c r="D1" s="50"/>
      <c r="E1" s="50"/>
      <c r="F1" s="50"/>
      <c r="G1" s="50"/>
      <c r="H1" s="50"/>
      <c r="I1" s="27"/>
    </row>
    <row r="2" spans="1:9" x14ac:dyDescent="0.25">
      <c r="A2" s="39" t="s">
        <v>57</v>
      </c>
      <c r="B2" s="39"/>
      <c r="C2" s="39"/>
      <c r="D2" s="39"/>
      <c r="E2" s="39"/>
      <c r="F2" s="39"/>
      <c r="G2" s="39"/>
      <c r="H2" s="52"/>
      <c r="I2" s="52"/>
    </row>
    <row r="3" spans="1:9" x14ac:dyDescent="0.25">
      <c r="A3" s="24" t="s">
        <v>60</v>
      </c>
      <c r="B3" s="24"/>
      <c r="C3" s="24"/>
      <c r="D3" s="24"/>
      <c r="E3" s="24"/>
      <c r="F3" s="24"/>
      <c r="G3" s="24"/>
      <c r="H3" s="24"/>
      <c r="I3" s="24"/>
    </row>
    <row r="4" spans="1:9" x14ac:dyDescent="0.25">
      <c r="A4" s="24"/>
      <c r="B4" s="24"/>
      <c r="D4" s="37" t="s">
        <v>70</v>
      </c>
      <c r="E4" s="37" t="s">
        <v>61</v>
      </c>
      <c r="F4" s="24"/>
      <c r="G4" s="24"/>
      <c r="H4" s="24"/>
      <c r="I4" s="24"/>
    </row>
    <row r="5" spans="1:9" x14ac:dyDescent="0.25">
      <c r="A5" s="24"/>
      <c r="B5" s="24"/>
      <c r="C5" s="34"/>
      <c r="D5" s="31" t="s">
        <v>62</v>
      </c>
      <c r="E5" s="30" t="s">
        <v>66</v>
      </c>
      <c r="F5" s="24"/>
      <c r="G5" s="24"/>
      <c r="H5" s="24"/>
      <c r="I5" s="24"/>
    </row>
    <row r="6" spans="1:9" x14ac:dyDescent="0.25">
      <c r="A6" s="24"/>
      <c r="B6" s="24"/>
      <c r="C6" s="35"/>
      <c r="D6" s="30" t="s">
        <v>63</v>
      </c>
      <c r="E6" s="30" t="s">
        <v>67</v>
      </c>
      <c r="F6" s="24"/>
      <c r="G6" s="24"/>
      <c r="H6" s="24"/>
      <c r="I6" s="24"/>
    </row>
    <row r="7" spans="1:9" x14ac:dyDescent="0.25">
      <c r="A7" s="24"/>
      <c r="B7" s="24"/>
      <c r="C7" s="36"/>
      <c r="D7" s="32" t="s">
        <v>65</v>
      </c>
      <c r="E7" s="30" t="s">
        <v>68</v>
      </c>
      <c r="F7" s="24"/>
      <c r="G7" s="24"/>
      <c r="H7" s="24"/>
      <c r="I7" s="24"/>
    </row>
    <row r="8" spans="1:9" x14ac:dyDescent="0.25">
      <c r="A8" s="24"/>
      <c r="B8" s="24"/>
      <c r="C8" s="10"/>
      <c r="D8" s="33" t="s">
        <v>64</v>
      </c>
      <c r="E8" s="30" t="s">
        <v>69</v>
      </c>
      <c r="F8" s="24"/>
      <c r="G8" s="24"/>
      <c r="H8" s="24"/>
      <c r="I8" s="24"/>
    </row>
    <row r="10" spans="1:9" x14ac:dyDescent="0.25">
      <c r="A10" s="9" t="s">
        <v>40</v>
      </c>
      <c r="B10" s="8"/>
      <c r="C10" s="8"/>
      <c r="D10" s="8"/>
      <c r="E10" s="8"/>
      <c r="F10" s="8"/>
      <c r="G10" s="8"/>
      <c r="H10" s="8"/>
    </row>
    <row r="12" spans="1:9" x14ac:dyDescent="0.25">
      <c r="A12" s="45" t="s">
        <v>21</v>
      </c>
      <c r="B12" s="46"/>
      <c r="E12" s="37" t="s">
        <v>49</v>
      </c>
      <c r="F12" s="37"/>
      <c r="G12" s="37"/>
    </row>
    <row r="13" spans="1:9" x14ac:dyDescent="0.25">
      <c r="A13" s="3" t="s">
        <v>0</v>
      </c>
      <c r="B13" s="4" t="s">
        <v>6</v>
      </c>
      <c r="E13" s="10" t="s">
        <v>1</v>
      </c>
      <c r="F13" s="40" t="str">
        <f>_xlfn.CONCAT("&lt;&lt;255,set_id,",B14,"&gt;")</f>
        <v>&lt;&lt;255,set_id,141&gt;</v>
      </c>
      <c r="G13" s="40"/>
    </row>
    <row r="14" spans="1:9" x14ac:dyDescent="0.25">
      <c r="A14" s="3" t="s">
        <v>1</v>
      </c>
      <c r="B14" s="5" t="str">
        <f>IF(C14="","141")</f>
        <v>141</v>
      </c>
      <c r="E14" s="10" t="s">
        <v>50</v>
      </c>
      <c r="F14" s="40" t="str">
        <f>_xlfn.CONCAT("&lt;&lt;",B14,",set_baud,",B15,"&gt;")</f>
        <v>&lt;&lt;141,set_baud,Select…&gt;</v>
      </c>
      <c r="G14" s="40"/>
    </row>
    <row r="15" spans="1:9" x14ac:dyDescent="0.25">
      <c r="A15" s="3" t="s">
        <v>2</v>
      </c>
      <c r="B15" s="5" t="s">
        <v>11</v>
      </c>
      <c r="E15" s="10" t="s">
        <v>51</v>
      </c>
      <c r="F15" s="40" t="str">
        <f>_xlfn.CONCAT("&lt;&lt;",B14,",set_name,",B16,"&gt;")</f>
        <v>&lt;&lt;141,set_name,Default&gt;</v>
      </c>
      <c r="G15" s="40"/>
    </row>
    <row r="16" spans="1:9" x14ac:dyDescent="0.25">
      <c r="A16" s="3" t="s">
        <v>3</v>
      </c>
      <c r="B16" s="4" t="s">
        <v>72</v>
      </c>
    </row>
    <row r="17" spans="1:9" x14ac:dyDescent="0.25">
      <c r="A17" s="3" t="s">
        <v>4</v>
      </c>
      <c r="B17" s="4" t="s">
        <v>11</v>
      </c>
      <c r="E17" s="37" t="s">
        <v>55</v>
      </c>
      <c r="F17" s="37"/>
      <c r="G17" s="37"/>
    </row>
    <row r="18" spans="1:9" x14ac:dyDescent="0.25">
      <c r="A18" s="6" t="s">
        <v>5</v>
      </c>
      <c r="B18" s="7" t="s">
        <v>11</v>
      </c>
      <c r="E18" s="10" t="s">
        <v>54</v>
      </c>
      <c r="F18" s="40" t="str">
        <f>_xlfn.CONCAT("&lt;&lt;",B14,",get_t&gt;")</f>
        <v>&lt;&lt;141,get_t&gt;</v>
      </c>
      <c r="G18" s="40"/>
    </row>
    <row r="19" spans="1:9" x14ac:dyDescent="0.25">
      <c r="E19" s="10" t="s">
        <v>56</v>
      </c>
      <c r="F19" s="41"/>
      <c r="G19" s="42"/>
    </row>
    <row r="20" spans="1:9" x14ac:dyDescent="0.25">
      <c r="A20" s="9" t="s">
        <v>41</v>
      </c>
      <c r="B20" s="8"/>
      <c r="C20" s="8"/>
      <c r="D20" s="8"/>
      <c r="E20" s="8"/>
      <c r="F20" s="8"/>
      <c r="G20" s="8"/>
      <c r="H20" s="8"/>
    </row>
    <row r="21" spans="1:9" x14ac:dyDescent="0.25">
      <c r="A21" s="25"/>
    </row>
    <row r="22" spans="1:9" ht="22.8" customHeight="1" x14ac:dyDescent="0.25">
      <c r="A22" s="50" t="s">
        <v>52</v>
      </c>
      <c r="B22" s="50"/>
      <c r="C22" s="50"/>
      <c r="D22" s="50"/>
      <c r="E22" s="50"/>
      <c r="F22" s="50"/>
      <c r="G22" s="50"/>
      <c r="H22" s="50"/>
      <c r="I22" s="27"/>
    </row>
    <row r="23" spans="1:9" x14ac:dyDescent="0.25">
      <c r="A23" s="26"/>
      <c r="B23" s="26"/>
      <c r="C23" s="26"/>
      <c r="D23" s="26"/>
      <c r="E23" s="26"/>
      <c r="F23" s="26"/>
      <c r="G23" s="26"/>
      <c r="H23" s="26"/>
      <c r="I23" s="26"/>
    </row>
    <row r="24" spans="1:9" x14ac:dyDescent="0.25">
      <c r="A24" s="26"/>
      <c r="B24" s="51" t="s">
        <v>53</v>
      </c>
      <c r="C24" s="51"/>
      <c r="D24" s="40" t="str">
        <f>_xlfn.CONCAT("&lt;&lt;",B14,",get_raw&gt;")</f>
        <v>&lt;&lt;141,get_raw&gt;</v>
      </c>
      <c r="E24" s="40"/>
      <c r="F24" s="27"/>
      <c r="G24" s="26"/>
      <c r="H24" s="26"/>
      <c r="I24" s="26"/>
    </row>
    <row r="25" spans="1:9" x14ac:dyDescent="0.25">
      <c r="A25" s="26"/>
      <c r="B25" s="28"/>
      <c r="C25" s="28"/>
      <c r="D25" s="29"/>
      <c r="E25" s="29"/>
      <c r="F25" s="27"/>
      <c r="G25" s="26"/>
      <c r="H25" s="26"/>
      <c r="I25" s="26"/>
    </row>
    <row r="26" spans="1:9" ht="25.2" customHeight="1" x14ac:dyDescent="0.25">
      <c r="A26" s="50" t="s">
        <v>58</v>
      </c>
      <c r="B26" s="50"/>
      <c r="C26" s="50"/>
      <c r="D26" s="50"/>
      <c r="E26" s="50"/>
      <c r="F26" s="50"/>
      <c r="G26" s="50"/>
      <c r="H26" s="50"/>
      <c r="I26" s="27"/>
    </row>
    <row r="28" spans="1:9" ht="12" customHeight="1" x14ac:dyDescent="0.25">
      <c r="B28" s="47" t="s">
        <v>45</v>
      </c>
      <c r="C28" s="48"/>
      <c r="D28" s="48"/>
      <c r="E28" s="48"/>
      <c r="F28" s="48"/>
      <c r="G28" s="49"/>
    </row>
    <row r="29" spans="1:9" ht="21" x14ac:dyDescent="0.25">
      <c r="B29" s="13" t="s">
        <v>27</v>
      </c>
      <c r="C29" s="13" t="s">
        <v>28</v>
      </c>
      <c r="D29" s="13" t="s">
        <v>29</v>
      </c>
      <c r="E29" s="13" t="s">
        <v>30</v>
      </c>
      <c r="F29" s="14" t="s">
        <v>31</v>
      </c>
      <c r="G29" s="14" t="s">
        <v>36</v>
      </c>
    </row>
    <row r="30" spans="1:9" x14ac:dyDescent="0.25">
      <c r="B30" s="12"/>
      <c r="C30" s="12"/>
      <c r="D30" s="12"/>
      <c r="E30" s="12"/>
      <c r="F30" s="12">
        <v>0</v>
      </c>
      <c r="G30" s="12">
        <f>F30</f>
        <v>0</v>
      </c>
    </row>
    <row r="31" spans="1:9" x14ac:dyDescent="0.25">
      <c r="B31" s="12"/>
      <c r="C31" s="12"/>
      <c r="D31" s="12"/>
      <c r="E31" s="12"/>
      <c r="F31" s="12"/>
      <c r="G31" s="12">
        <f>G30+F31</f>
        <v>0</v>
      </c>
    </row>
    <row r="32" spans="1:9" x14ac:dyDescent="0.25">
      <c r="B32" s="12"/>
      <c r="C32" s="12"/>
      <c r="D32" s="12"/>
      <c r="E32" s="12"/>
      <c r="F32" s="12"/>
      <c r="G32" s="12">
        <f>G31+F32</f>
        <v>0</v>
      </c>
    </row>
    <row r="34" spans="1:9" ht="12" customHeight="1" x14ac:dyDescent="0.25">
      <c r="A34" s="47" t="s">
        <v>22</v>
      </c>
      <c r="B34" s="48"/>
      <c r="C34" s="48"/>
      <c r="D34" s="48"/>
      <c r="E34" s="44" t="s">
        <v>39</v>
      </c>
      <c r="F34" s="44"/>
      <c r="G34" s="44"/>
      <c r="H34" s="44"/>
    </row>
    <row r="35" spans="1:9" x14ac:dyDescent="0.25">
      <c r="A35" s="16" t="s">
        <v>23</v>
      </c>
      <c r="B35" s="15" t="s">
        <v>24</v>
      </c>
      <c r="C35" s="15" t="s">
        <v>25</v>
      </c>
      <c r="D35" s="19" t="s">
        <v>26</v>
      </c>
      <c r="E35" s="43" t="s">
        <v>37</v>
      </c>
      <c r="F35" s="43"/>
      <c r="G35" s="43" t="s">
        <v>38</v>
      </c>
      <c r="H35" s="43"/>
    </row>
    <row r="36" spans="1:9" x14ac:dyDescent="0.25">
      <c r="A36" s="16" t="s">
        <v>32</v>
      </c>
      <c r="B36" s="17" t="e" cm="1">
        <f t="array" ref="B36">LINEST($G$30:$G$32,B$30:B$32)</f>
        <v>#VALUE!</v>
      </c>
      <c r="C36" s="12"/>
      <c r="D36" s="20" t="e">
        <f>RSQ($B$30:$B$32,$G$30:$G$32)</f>
        <v>#DIV/0!</v>
      </c>
      <c r="E36" s="40" t="e">
        <f>_xlfn.CONCAT("&lt;&lt;",$B$14,",set_prop_",LOWER($A36),",",FIXED(B36,7,1),"&gt;")</f>
        <v>#VALUE!</v>
      </c>
      <c r="F36" s="40"/>
      <c r="G36" s="40" t="str">
        <f>_xlfn.CONCAT("&lt;&lt;",$B$14,",set_offset_",LOWER($A36),",",FIXED(C36,7,1),"&gt;")</f>
        <v>&lt;&lt;141,set_offset_a1,0.0000000&gt;</v>
      </c>
      <c r="H36" s="40"/>
    </row>
    <row r="37" spans="1:9" x14ac:dyDescent="0.25">
      <c r="A37" s="16" t="s">
        <v>33</v>
      </c>
      <c r="B37" s="17" t="e" cm="1">
        <f t="array" ref="B37">LINEST($G$30:$G$32,C$30:C$32)</f>
        <v>#VALUE!</v>
      </c>
      <c r="C37" s="18"/>
      <c r="D37" s="20" t="e">
        <f>RSQ($C$30:$C$32,$G$30:$G$32)</f>
        <v>#DIV/0!</v>
      </c>
      <c r="E37" s="40" t="e">
        <f t="shared" ref="E37:E39" si="0">_xlfn.CONCAT("&lt;&lt;",$B$14,",set_prop_",LOWER($A37),",",FIXED(B37,7,1),"&gt;")</f>
        <v>#VALUE!</v>
      </c>
      <c r="F37" s="40"/>
      <c r="G37" s="40" t="str">
        <f t="shared" ref="G37:G39" si="1">_xlfn.CONCAT("&lt;&lt;",$B$14,",set_offset_",LOWER($A37),",",FIXED(C37,7,1),"&gt;")</f>
        <v>&lt;&lt;141,set_offset_b1,0.0000000&gt;</v>
      </c>
      <c r="H37" s="40"/>
    </row>
    <row r="38" spans="1:9" x14ac:dyDescent="0.25">
      <c r="A38" s="16" t="s">
        <v>34</v>
      </c>
      <c r="B38" s="17" t="e" cm="1">
        <f t="array" ref="B38">LINEST($G$30:$G$32,D$30:D$32)</f>
        <v>#VALUE!</v>
      </c>
      <c r="C38" s="12"/>
      <c r="D38" s="20" t="e">
        <f>RSQ($D$30:$D$32,$G$30:$G$32)</f>
        <v>#DIV/0!</v>
      </c>
      <c r="E38" s="40" t="e">
        <f t="shared" si="0"/>
        <v>#VALUE!</v>
      </c>
      <c r="F38" s="40"/>
      <c r="G38" s="40" t="str">
        <f t="shared" si="1"/>
        <v>&lt;&lt;141,set_offset_a2,0.0000000&gt;</v>
      </c>
      <c r="H38" s="40"/>
    </row>
    <row r="39" spans="1:9" x14ac:dyDescent="0.25">
      <c r="A39" s="16" t="s">
        <v>35</v>
      </c>
      <c r="B39" s="17" t="e" cm="1">
        <f t="array" ref="B39">LINEST($G$30:$G$32,E$30:E$32)</f>
        <v>#VALUE!</v>
      </c>
      <c r="C39" s="18"/>
      <c r="D39" s="20" t="e">
        <f>RSQ($E$30:$E$32,$G$30:$G$32)</f>
        <v>#DIV/0!</v>
      </c>
      <c r="E39" s="40" t="e">
        <f t="shared" si="0"/>
        <v>#VALUE!</v>
      </c>
      <c r="F39" s="40"/>
      <c r="G39" s="40" t="str">
        <f t="shared" si="1"/>
        <v>&lt;&lt;141,set_offset_b2,0.0000000&gt;</v>
      </c>
      <c r="H39" s="40"/>
    </row>
    <row r="41" spans="1:9" x14ac:dyDescent="0.25">
      <c r="A41" s="9" t="s">
        <v>42</v>
      </c>
      <c r="B41" s="8"/>
      <c r="C41" s="8"/>
      <c r="D41" s="8"/>
      <c r="E41" s="8"/>
      <c r="F41" s="8"/>
      <c r="G41" s="8"/>
      <c r="H41" s="8"/>
    </row>
    <row r="42" spans="1:9" x14ac:dyDescent="0.25">
      <c r="A42" s="25"/>
    </row>
    <row r="43" spans="1:9" ht="24" customHeight="1" x14ac:dyDescent="0.25">
      <c r="A43" s="50" t="s">
        <v>71</v>
      </c>
      <c r="B43" s="50"/>
      <c r="C43" s="50"/>
      <c r="D43" s="50"/>
      <c r="E43" s="50"/>
      <c r="F43" s="50"/>
      <c r="G43" s="50"/>
      <c r="H43" s="27"/>
      <c r="I43" s="27"/>
    </row>
    <row r="45" spans="1:9" x14ac:dyDescent="0.25">
      <c r="B45" s="47" t="s">
        <v>43</v>
      </c>
      <c r="C45" s="48"/>
      <c r="D45" s="49"/>
      <c r="F45" s="13" t="s">
        <v>48</v>
      </c>
      <c r="G45" s="13" t="s">
        <v>25</v>
      </c>
    </row>
    <row r="46" spans="1:9" ht="21" x14ac:dyDescent="0.25">
      <c r="B46" s="13" t="s">
        <v>46</v>
      </c>
      <c r="C46" s="14" t="s">
        <v>47</v>
      </c>
      <c r="D46" s="13" t="s">
        <v>44</v>
      </c>
      <c r="F46" s="10" t="e" cm="1">
        <f t="array" ref="F46">LINEST(D47:D49,B47:B49)</f>
        <v>#VALUE!</v>
      </c>
      <c r="G46" s="10"/>
    </row>
    <row r="47" spans="1:9" x14ac:dyDescent="0.25">
      <c r="B47" s="11"/>
      <c r="C47" s="11"/>
      <c r="D47" s="11">
        <f>C47</f>
        <v>0</v>
      </c>
    </row>
    <row r="48" spans="1:9" x14ac:dyDescent="0.25">
      <c r="B48" s="11"/>
      <c r="C48" s="11"/>
      <c r="D48" s="21">
        <f>D47+C48</f>
        <v>0</v>
      </c>
      <c r="F48" s="38" t="e">
        <f>_xlfn.CONCAT("&lt;&lt;",$B$14,",set_prop,",FIXED(F46,7,1),"&gt;")</f>
        <v>#VALUE!</v>
      </c>
      <c r="G48" s="38"/>
      <c r="H48" s="38"/>
    </row>
    <row r="49" spans="2:8" x14ac:dyDescent="0.25">
      <c r="B49" s="11"/>
      <c r="C49" s="11"/>
      <c r="D49" s="21">
        <f>D48+C49</f>
        <v>0</v>
      </c>
      <c r="F49" s="38" t="str">
        <f>_xlfn.CONCAT("&lt;&lt;",$B$14,",set_offset,",FIXED(G46,7,1),"&gt;")</f>
        <v>&lt;&lt;141,set_offset,0.0000000&gt;</v>
      </c>
      <c r="G49" s="38"/>
      <c r="H49" s="38"/>
    </row>
    <row r="52" spans="2:8" x14ac:dyDescent="0.25">
      <c r="C52" s="22"/>
      <c r="D52" s="22"/>
      <c r="E52" s="23"/>
    </row>
  </sheetData>
  <mergeCells count="32">
    <mergeCell ref="A2:G2"/>
    <mergeCell ref="A43:G43"/>
    <mergeCell ref="F49:H49"/>
    <mergeCell ref="F13:G13"/>
    <mergeCell ref="F14:G14"/>
    <mergeCell ref="F15:G15"/>
    <mergeCell ref="E37:F37"/>
    <mergeCell ref="E38:F38"/>
    <mergeCell ref="E39:F39"/>
    <mergeCell ref="G36:H36"/>
    <mergeCell ref="G37:H37"/>
    <mergeCell ref="G38:H38"/>
    <mergeCell ref="G39:H39"/>
    <mergeCell ref="B28:G28"/>
    <mergeCell ref="A34:D34"/>
    <mergeCell ref="B45:D45"/>
    <mergeCell ref="B24:C24"/>
    <mergeCell ref="A22:H22"/>
    <mergeCell ref="A1:H1"/>
    <mergeCell ref="A26:H26"/>
    <mergeCell ref="E12:G12"/>
    <mergeCell ref="F48:H48"/>
    <mergeCell ref="D24:E24"/>
    <mergeCell ref="E17:G17"/>
    <mergeCell ref="F18:G18"/>
    <mergeCell ref="F19:G19"/>
    <mergeCell ref="D4:E4"/>
    <mergeCell ref="E36:F36"/>
    <mergeCell ref="E35:F35"/>
    <mergeCell ref="G35:H35"/>
    <mergeCell ref="E34:H34"/>
    <mergeCell ref="A12:B12"/>
  </mergeCells>
  <conditionalFormatting sqref="B13:B15 B17:B18">
    <cfRule type="cellIs" dxfId="9" priority="7" operator="equal">
      <formula>"Select…"</formula>
    </cfRule>
    <cfRule type="cellIs" dxfId="8" priority="8" operator="equal">
      <formula>"Select..."</formula>
    </cfRule>
  </conditionalFormatting>
  <conditionalFormatting sqref="B15">
    <cfRule type="cellIs" dxfId="7" priority="10" operator="equal">
      <formula>"Seleccionar..."</formula>
    </cfRule>
  </conditionalFormatting>
  <conditionalFormatting sqref="B16">
    <cfRule type="cellIs" dxfId="6" priority="6" operator="equal">
      <formula>"Default"</formula>
    </cfRule>
  </conditionalFormatting>
  <conditionalFormatting sqref="B18">
    <cfRule type="cellIs" dxfId="5" priority="9" operator="equal">
      <formula>"Seleccionar..."</formula>
    </cfRule>
  </conditionalFormatting>
  <conditionalFormatting sqref="D36:D39">
    <cfRule type="cellIs" dxfId="4" priority="3" operator="lessThan">
      <formula>0.9</formula>
    </cfRule>
    <cfRule type="cellIs" dxfId="3" priority="4" operator="greaterThan">
      <formula>0.97</formula>
    </cfRule>
    <cfRule type="cellIs" dxfId="2" priority="5" operator="lessThan">
      <formula>0.97</formula>
    </cfRule>
  </conditionalFormatting>
  <conditionalFormatting sqref="F19:G19">
    <cfRule type="cellIs" dxfId="1" priority="1" operator="lessThan">
      <formula>-50</formula>
    </cfRule>
    <cfRule type="cellIs" dxfId="0" priority="2" operator="greaterThan">
      <formula>100</formula>
    </cfRule>
  </conditionalFormatting>
  <dataValidations count="4">
    <dataValidation allowBlank="1" showInputMessage="1" promptTitle="Seleccionar..." sqref="B14" xr:uid="{05978BCF-B381-4B12-848D-5C907504CD4C}"/>
    <dataValidation type="list" allowBlank="1" promptTitle="Seleccionar..." sqref="B15" xr:uid="{5898D0C4-5BFD-4E5C-AC6D-E6DBA6AB8782}">
      <formula1>Baudrate</formula1>
    </dataValidation>
    <dataValidation type="list" allowBlank="1" sqref="B18" xr:uid="{CDC35974-1328-4A38-8D4C-A84BDA163D21}">
      <formula1>Microcontroller</formula1>
    </dataValidation>
    <dataValidation type="list" allowBlank="1" sqref="B17" xr:uid="{EB1FDFE5-6E5A-4FFD-92F5-9F7EE4665A2F}">
      <formula1>Firmware</formula1>
    </dataValidation>
  </dataValidations>
  <pageMargins left="0.7" right="0.7" top="0.75" bottom="0.75" header="0.3" footer="0.3"/>
  <pageSetup orientation="portrait" r:id="rId1"/>
  <headerFooter>
    <oddHeader>&amp;L&amp;G&amp;C&amp;"-,Negrita"CALIBRATION SHEET
SNOW SCALE SENSOR&amp;RDate &amp;D
Pag. &amp;P</oddHeader>
    <oddFooter>&amp;CCentro de Estudios Avanzados en Zonas Áridas - Avenida Raúl Bitrán 1305, La Serena, Región de Coquimbo
Email: adrian.gallardo@ceaza.cl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uardarPdf">
                <anchor moveWithCells="1">
                  <from>
                    <xdr:col>7</xdr:col>
                    <xdr:colOff>0</xdr:colOff>
                    <xdr:row>2</xdr:row>
                    <xdr:rowOff>15240</xdr:rowOff>
                  </from>
                  <to>
                    <xdr:col>7</xdr:col>
                    <xdr:colOff>746760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63C4F-18D4-466E-96A3-4CC5B1A7DF1D}">
  <sheetPr codeName="Hoja2"/>
  <dimension ref="A1:E10"/>
  <sheetViews>
    <sheetView workbookViewId="0">
      <selection activeCell="E2" sqref="E2:E10"/>
    </sheetView>
  </sheetViews>
  <sheetFormatPr baseColWidth="10" defaultRowHeight="14.4" x14ac:dyDescent="0.3"/>
  <cols>
    <col min="3" max="3" width="12.5546875" bestFit="1" customWidth="1"/>
  </cols>
  <sheetData>
    <row r="1" spans="1:5" x14ac:dyDescent="0.3">
      <c r="A1" s="1" t="s">
        <v>7</v>
      </c>
      <c r="C1" t="s">
        <v>8</v>
      </c>
      <c r="E1" t="s">
        <v>12</v>
      </c>
    </row>
    <row r="2" spans="1:5" x14ac:dyDescent="0.3">
      <c r="A2" s="1" t="s">
        <v>11</v>
      </c>
      <c r="C2" t="s">
        <v>11</v>
      </c>
      <c r="E2" t="s">
        <v>13</v>
      </c>
    </row>
    <row r="3" spans="1:5" x14ac:dyDescent="0.3">
      <c r="A3" s="1">
        <v>1200</v>
      </c>
      <c r="C3" s="1" t="s">
        <v>10</v>
      </c>
      <c r="E3" t="s">
        <v>13</v>
      </c>
    </row>
    <row r="4" spans="1:5" x14ac:dyDescent="0.3">
      <c r="A4" s="1">
        <v>2400</v>
      </c>
      <c r="C4" s="1" t="s">
        <v>9</v>
      </c>
      <c r="E4" t="s">
        <v>14</v>
      </c>
    </row>
    <row r="5" spans="1:5" x14ac:dyDescent="0.3">
      <c r="A5" s="1">
        <v>4800</v>
      </c>
      <c r="E5" t="s">
        <v>15</v>
      </c>
    </row>
    <row r="6" spans="1:5" x14ac:dyDescent="0.3">
      <c r="A6" s="1">
        <v>9600</v>
      </c>
      <c r="E6" t="s">
        <v>16</v>
      </c>
    </row>
    <row r="7" spans="1:5" x14ac:dyDescent="0.3">
      <c r="A7" s="1">
        <v>14400</v>
      </c>
      <c r="E7" t="s">
        <v>17</v>
      </c>
    </row>
    <row r="8" spans="1:5" x14ac:dyDescent="0.3">
      <c r="A8" s="1">
        <v>19200</v>
      </c>
      <c r="E8" t="s">
        <v>18</v>
      </c>
    </row>
    <row r="9" spans="1:5" x14ac:dyDescent="0.3">
      <c r="E9" t="s">
        <v>19</v>
      </c>
    </row>
    <row r="10" spans="1:5" x14ac:dyDescent="0.3">
      <c r="E1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Hoja1</vt:lpstr>
      <vt:lpstr>Hoja2</vt:lpstr>
      <vt:lpstr>Baudrate</vt:lpstr>
      <vt:lpstr>Firmware</vt:lpstr>
      <vt:lpstr>Microcontroller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Gallardo</dc:creator>
  <cp:lastModifiedBy>Adrian Gallardo</cp:lastModifiedBy>
  <cp:lastPrinted>2023-10-18T17:51:39Z</cp:lastPrinted>
  <dcterms:created xsi:type="dcterms:W3CDTF">2023-10-16T14:30:25Z</dcterms:created>
  <dcterms:modified xsi:type="dcterms:W3CDTF">2023-10-18T18:24:52Z</dcterms:modified>
</cp:coreProperties>
</file>